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lexandre/Desktop/"/>
    </mc:Choice>
  </mc:AlternateContent>
  <xr:revisionPtr revIDLastSave="0" documentId="8_{A0BB8E90-077F-4D4D-9323-9D388D3E4FF5}" xr6:coauthVersionLast="47" xr6:coauthVersionMax="47" xr10:uidLastSave="{00000000-0000-0000-0000-000000000000}"/>
  <bookViews>
    <workbookView xWindow="20780" yWindow="5900" windowWidth="27640" windowHeight="16940" activeTab="1" xr2:uid="{6F821107-9BAA-4147-9342-5085A939CE5E}"/>
  </bookViews>
  <sheets>
    <sheet name="UF" sheetId="1" r:id="rId1"/>
    <sheet name="indicateur"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2" l="1"/>
  <c r="C14" i="2"/>
  <c r="C13" i="2"/>
  <c r="C12" i="2"/>
</calcChain>
</file>

<file path=xl/sharedStrings.xml><?xml version="1.0" encoding="utf-8"?>
<sst xmlns="http://schemas.openxmlformats.org/spreadsheetml/2006/main" count="274" uniqueCount="127">
  <si>
    <t>Mur en bois 3L90</t>
  </si>
  <si>
    <t>LEKO LABS</t>
  </si>
  <si>
    <t>Murs - Bois</t>
  </si>
  <si>
    <t>LEKO</t>
  </si>
  <si>
    <t>ecoinvent 3.9</t>
  </si>
  <si>
    <t>NF EN 15804+A2</t>
  </si>
  <si>
    <t>L’UF (unité fonctionnelle) représente une surface unitaire d’un système de mur non porteur fabriqué par LEKO LABS, soit 1 m2 de mur de séparation LEKO LABS 3L90 avec une durée de vie de référence égale à 50 ans.</t>
  </si>
  <si>
    <t>m²</t>
  </si>
  <si>
    <t>50 ans</t>
  </si>
  <si>
    <t>A4 (scénario) : 1000 kms 
C2 déchets recyclés : 30 kms 
C2 déchets destinés à la valorisation énergétique : 30 kms 
C2 déchets éliminés : 80 kms</t>
  </si>
  <si>
    <t>Mur en bois 3L110</t>
  </si>
  <si>
    <t>L’UF (unité fonctionnelle) représente une surface unitaire d’un système de mur non porteur fabriqué par LEKO LABS, soit 1 m2 de mur porteur LEKO LABS 3L110 avec une durée de vie de référence égale à 50 ans.</t>
  </si>
  <si>
    <t>Mur en bois 5L150</t>
  </si>
  <si>
    <t>L’UF (unité fonctionnelle) représente une surface unitaire d’un système de mur non porteur fabriqué par LEKO LABS, soit 1 m2 de mur porteur LEKO LABS 5L150 avec une durée de vie de référence égale à 50 ans.</t>
  </si>
  <si>
    <t>Mur en bois 5L180</t>
  </si>
  <si>
    <t>L’UF (unité fonctionnelle) représente une surface unitaire d’un système de mur non porteur fabriqué par LEKO LABS, soit 1 m2 de mur porteur LEKO LABS 5L180 avec une durée de vie de référence égale à 50 ans.</t>
  </si>
  <si>
    <t>CLT by Stora Enso</t>
  </si>
  <si>
    <t xml:space="preserve">STORA ENSO FRANCE </t>
  </si>
  <si>
    <t>CLT</t>
  </si>
  <si>
    <t>Ecoinvent</t>
  </si>
  <si>
    <t>NF EN 15804+A1</t>
  </si>
  <si>
    <t>Assurer une fonction de structure ou de construction pour 1m³ de panneau mis en œuvre selon les recommandations du fabricant sur la base d’une durée de vie de référence de 100 ans, tout en assurant les performances prescrites du produit.</t>
  </si>
  <si>
    <t>m3</t>
  </si>
  <si>
    <t>100 ans</t>
  </si>
  <si>
    <t>A4 (scénario) : 1261 kms 
C2 déchets recyclés : non concerné 
C2 déchets destinés à la valorisation énergétique : non concerné 
C2 déchets éliminés : non concerné</t>
  </si>
  <si>
    <t>Le Cross Laminated Timber (CLT) est un matériau de construction réalisé en bois massif. Il est constitué d’au moins trois plaques monocouches collées les unes sur les autres et disposées à plis croisés, autrement dit perpendiculairement les unes par rapport aux autres. Il peut mesurer jusqu'à 2,95 m × 16,00 m. Les panneaux en CLT sont constitués de plusieurs couches (3, 5, 7 ou 8) et sont disponibles en différentes épaisseurs (épaisseur maximale 40 cm). La classe de résistance des panneaux correspond à C24 (EN 338). Les classes d’usage sont de 1 et 2 (EN 1995-1-1). Les planches en bois utilisées pour la réalisation des panneaux Stora Enso CLT sont en épicéa, sapin, pin et certifiées PEFC (certificat de la chaine de traçabilité : DNV-COC-001077, DNV-CW-001077). Les panneaux structuraux sont destinés à la réalisation d’ouvrages de structure en classes de service 1 et 2 au sens de la norme NF EN 1995-1-1 et en classes d’emploi 1 et 2 au sens de la norme NF EN 335. Cette FDES ne couvre pas les différents types de mise en œuvre ni les produits de finition. Pour la réalisation des planchers, le procédé est limité à la reprise de charges à caractère statique ou quasi-statique pour des catégories d’usage A, B, C1, C2, C3, et D1 au sens de la norme NF EN1991-1-1.</t>
  </si>
  <si>
    <t>Mur ossature bois en bois de France, toutes essences</t>
  </si>
  <si>
    <t>BOIS DE France</t>
  </si>
  <si>
    <t>Ossature Bois</t>
  </si>
  <si>
    <t>ecoinvent</t>
  </si>
  <si>
    <t>Constituer 1 m² de mur porteur stable qui délimite la structure d’un bâtiment sur la durée de vie de référence de 100 ans</t>
  </si>
  <si>
    <t>m2</t>
  </si>
  <si>
    <t>A4 (scénario) : 78 kms 
C2 déchets recyclés : 30 kms 
C2 déchets destinés à la valorisation énergétique : 30 kms 
C2 déchets éliminés : 30 kms</t>
  </si>
  <si>
    <t>Un mur à ossature bois porteur est un élément structurel assurant la reprise et la transmission d’efforts structurels au sein de la superstructure d’un bâtiment. Il est composé d’une ossature en bois et d’un panneau de contreventement fixé sur cette ossature à l’aide de pointes, vis ou agrafes.
Cette structure peut accueillir ensuite une isolation, un pare-vapeur, un revêtement intérieur et un revêtement extérieur, tous non inclus dans le périmètre de la présente FDES (ces produits possèdent leurs propres données environnementales).</t>
  </si>
  <si>
    <t>Les produits couverts par la présente FDES sont les murs à ossature bois en bois de France qui remplissent l’ensemble des conditions présentées dans la section « Cadre de validité de la FDES » (à la fin de la FDES) et reprises ci-dessous :
▪ Essences de l’ossature : toutes essences françaises
▪ Durabilité de l’ossature : naturelle ou conférée par imprégnation, trempage court,
pulvérisation, aspersion, traitement haute température
▪ Classe d’emploi : classe 2, classe 3.1, classe 3.2, classe 4
▪ Type de panneau : OSB, CP, PP
▪ Epaisseur du panneau : Jusqu’à 18 mm
▪ Largeur des montants d’ossature : De 90 mm à 220 mm
▪ Épaisseur des montants d’ossature : De 45 à 60 mm
▪ Entraxe des montants verticaux : Jusqu’à 60 cm
▪ Distance atelier-chantier : jusqu’à 700 km</t>
  </si>
  <si>
    <t>Panneau CLT (lamellé-croisé), fabriqué en France</t>
  </si>
  <si>
    <t>INSTITUT TECHNOLOGIQUE FCBA</t>
  </si>
  <si>
    <t>Ecoinvent 3.4</t>
  </si>
  <si>
    <t>Assurer une fonction d’élément structurel (mur et/ou plancher) pour 1 m3 de panneau CLT mis en œuvre selon les recommandations du fabricant sur la base d’une durée de vie de référence de 100 ans, tout en assurant les performances prescrites du produit.</t>
  </si>
  <si>
    <t>A4 (scénario) : 287 kms
C2 déchets recyclés : 75 kms
C2 déchets destinés à la valorisation énergétique : 50 kms
C2 déchets éliminés : 50 kms</t>
  </si>
  <si>
    <t>Mur extérieur en béton d'épaisseur 0.18 m, C25/30 XC4 / XF1 CEM II/A</t>
  </si>
  <si>
    <t>SNBPE</t>
  </si>
  <si>
    <t>Murs - Béton armé</t>
  </si>
  <si>
    <t>Béton</t>
  </si>
  <si>
    <t>-</t>
  </si>
  <si>
    <t>Assurer la fonction de mur porteur (structure et clos) pour le bâtiment considéré, sur 1 m² de paroi d'épaisseur 0,18 mètre, dont la DVT est de 100 ans.</t>
  </si>
  <si>
    <t>A4 (scénario) : 18.5 kms 
C2 déchets recyclés : 30 kms 
C2 déchets destinés à la valorisation énergétique : 30 kms 
C2 déchets éliminés : 30 kms</t>
  </si>
  <si>
    <t>Dalle pleine en béton d'épaisseur 0.20 m, C25/30 XC1 CEM II/A-</t>
  </si>
  <si>
    <t>Dalles et prédalles - Béton plein armé</t>
  </si>
  <si>
    <t>Assurer la fonction de plancher haut, sur une épaisseur de 0,2 mètre sur une surface d'1m², dont la DVT est de 100 ans.</t>
  </si>
  <si>
    <t>STEICO flex F  [100mm]</t>
  </si>
  <si>
    <t>STEICO SE</t>
  </si>
  <si>
    <t>Isolants thermiques et acoustiques pour murs (ITI) - Laine et fibre de bois</t>
  </si>
  <si>
    <t>Isolant</t>
  </si>
  <si>
    <t>GaBi Professional 2019</t>
  </si>
  <si>
    <t>Assurer la fonction d´isolation thermique sur 1 m² avec STEICO Flex F de 100,0 mm (épaisseur médiane), avec une conductivité thermique est de 0,036 ou 0,038 W/(mK), et une résistance thermique de 2,75 ou 2,60 (m²K)/W, mis en oeuvre selon les recommandations du fabricant sur la base d’une durée de vie de référence de 50 ans.</t>
  </si>
  <si>
    <t>A4 (scénario) : 670 kms 
C2 déchets recyclés : 75 kms 
C2 déchets destinés à la valorisation énergétique : 75 kms 
C2 déchets éliminés : 75 kms</t>
  </si>
  <si>
    <t>Le produit STEICOflex F contient des matériaux de la /liste des candidats ECHA/ pour l’adjonction de substances extrêmement préoccupantes dans l’annexe XIV de la /réglementation REACH/ (mise à jour : 07/01/2019) dans une proportion supérieure de 0,1 % en masse : non.</t>
  </si>
  <si>
    <t>Gutex Thermoflex® [100mm]</t>
  </si>
  <si>
    <t>GUTEX</t>
  </si>
  <si>
    <t>Assurer une fonction d’isolation thermique sur 1 m² de paroi pour une épaisseur de 1.00E+2 mm (soit un poids de 5.00E+0 kg) soit une résistance thermique de 2.78E+0 m².K/W avec une conductivité thermique de 3.60E-2 W/m.K tout en assurant les performances prescrites du produit. La durée de vie de référence est de 5.00E+1 ans.</t>
  </si>
  <si>
    <t>A4 (scénario) : 500 kms 
C2 déchets recyclés : non concerné 
C2 déchets destinés à la valorisation énergétique : 50 kms 
C2 déchets éliminés : 30 kms</t>
  </si>
  <si>
    <t>GUTEX Thermowall-gf® [60mm]</t>
  </si>
  <si>
    <t>Assurer une fonction d’isolation thermique sur 1 m² de paroi pour une épaisseur de 6.00E+1 mm (soit un poids de 1.11E+1 kg) soit une résistance thermique de 1.40E+0 m².K/W avec une conductivité thermique ? = 4.30E-2 W/m.K tout en assurant les performances prescrites du produit. La durée de vie de référence est de 5.00E+1 ans.</t>
  </si>
  <si>
    <t>GUTEX Thermowall-L® [145mm]</t>
  </si>
  <si>
    <t>Assurer une fonction d’isolation thermique sur 1 m² de paroi pour une épaisseur de 1.45E+2 mm (soit un poids de 1.59E+1 kg) soit une résistance thermique de 3.82E+0 m².K/W avec une conductivité thermique ? = 3.80E-2 W/m.K tout en assurant les performances prescrites du produit. La durée de vie de référence est de 5.00E+1 ans.</t>
  </si>
  <si>
    <t>Produits en bois lamellé collé, fabriqués en France par Mathis</t>
  </si>
  <si>
    <t>MATHIS SAS</t>
  </si>
  <si>
    <t>Eléments porteurs - Bois</t>
  </si>
  <si>
    <t>Poutre</t>
  </si>
  <si>
    <t>Ecoinvent v3.8</t>
  </si>
  <si>
    <t>Supporter des éléments de plancher ou de toiture avec 1 m3 de produits en bois lamellé de performance mécanique GL20 à GL32, fabriquée par le groupe MATHIS et mise en œuvre selon les règles de l’art, pendant la durée de vie de référence de 100 ans.</t>
  </si>
  <si>
    <t>A4 (scénario) : 400 kms 
C2 déchets recyclés : 13 kms 
C2 déchets destinés à la valorisation énergétique : 13 kms 
C2 déchets éliminés : 13 kms</t>
  </si>
  <si>
    <t>Bois massif abouté Schilliger, fabriqué en France</t>
  </si>
  <si>
    <t xml:space="preserve">SCHILLIGER BOIS SAS </t>
  </si>
  <si>
    <t>Assurer une fonction structurelle avec 1 m3 de bois massif abouté (BMA) pendant la durée de vie de référence de 100 ans.</t>
  </si>
  <si>
    <t>A4 (scénario) : 250 kms 
C2 déchets recyclés : 75 kms 
C2 déchets destinés à la valorisation énergétique : 50 kms 
C2 déchets éliminés : 50 kms</t>
  </si>
  <si>
    <t>LVL &amp; LVL G by Stora Enso</t>
  </si>
  <si>
    <t>Assurer une fonction de structure ou de construction pour 1m³ de panneau LVL, avec une humidité moyenne de 9% et une densité de 510 kg/m3, mis en oeuvre selon les recommandations du fabricant sur la base d’une durée de vie de référence de 100 ans, tout en assurant les performances prescrites du produit (hors accessoires de mise en oeuvre)</t>
  </si>
  <si>
    <t>A4 (scénario) : 2980 kms 
C2 déchets recyclés : 50 kms 
C2 déchets destinés à la valorisation énergétique : 50 kms 
C2 déchets éliminés : 50 kms</t>
  </si>
  <si>
    <t>Panneau CLT (lamellé-croisé), fabriqué en France par Mathis</t>
  </si>
  <si>
    <t>Assurer une fonction structurelle horizontale, verticale ou inclinée (mur/plancher/toiture) pour 1 m3 de panneau CLT, fabriqué par le groupe MATHIS et mis en œuvre selon les recommandations du fabricant, pendant la durée de vie de référence de 100 ans.</t>
  </si>
  <si>
    <t>Panneau CLT Schilliger, fabriqué en France</t>
  </si>
  <si>
    <t>A4 (scénario) : 320 kms 
C2 déchets recyclés : 75 kms 
C2 déchets destinés à la valorisation énergétique : non concerné 
C2 déchets éliminés : 50 kms</t>
  </si>
  <si>
    <t>Système Cloison acoustique 98/62 PAR PHONIC TECH 60 mm et Placoplatre® BA 18S</t>
  </si>
  <si>
    <t xml:space="preserve">SAINT-GOBAIN ISOVER </t>
  </si>
  <si>
    <t>Isolants thermiques et acoustiques pour murs (ITI) - Laine de verre</t>
  </si>
  <si>
    <t>Cloison</t>
  </si>
  <si>
    <t>Réaliser une cloison d’épaisseur totale 98 mm assurant un affaiblissement acoustique RW (C ; Ctr) de 49 (-2 ; -4) dB et une isolation thermique d’au moins 1,5 K.m².W-1 sur 1 m2 de paroi.</t>
  </si>
  <si>
    <t>A4 (scénario) : 460 kms 
C2 déchets recyclés : 250 kms 
C2 déchets destinés à la valorisation énergétique : non concerné 
C2 déchets éliminés : 50 kms</t>
  </si>
  <si>
    <t>Knauf Insulation laine de verre ECOSE® TP 238 60 mm</t>
  </si>
  <si>
    <t xml:space="preserve">KNAUF INSULATION SAS </t>
  </si>
  <si>
    <t>Réaliser une fonction d'isolation thermique sur 1 m² de paroi pour une valeur de résistance thermique R de 1,88 Km²/W</t>
  </si>
  <si>
    <t>A4 (scénario) : 600 kms 
C2 déchets recyclés : - 
C2 déchets destinés à la valorisation énergétique : - 
C2 déchets éliminés : 50 kms</t>
  </si>
  <si>
    <t>Nom du produit</t>
  </si>
  <si>
    <t>Organisme  déclarant</t>
  </si>
  <si>
    <t>Famille de produit INIES</t>
  </si>
  <si>
    <t>Catégorie</t>
  </si>
  <si>
    <t>Base de données d'arrière plan</t>
  </si>
  <si>
    <t>Norme environnementale</t>
  </si>
  <si>
    <t>Unité fonctionnelle (U.F.)</t>
  </si>
  <si>
    <t>Quantité</t>
  </si>
  <si>
    <t>Durée de vie de référence (DVR)</t>
  </si>
  <si>
    <t>Distances de transport</t>
  </si>
  <si>
    <t>Poids de l'UF</t>
  </si>
  <si>
    <t>Quantité de biosourcés (kg)</t>
  </si>
  <si>
    <t>Carbone biogénqiue stocké (kg eq. de CO2)</t>
  </si>
  <si>
    <t>Description du produit</t>
  </si>
  <si>
    <t>Produits couverts</t>
  </si>
  <si>
    <t>Impacts environnementaux</t>
  </si>
  <si>
    <t>A1 / A2 / A3</t>
  </si>
  <si>
    <t>A4 Transport</t>
  </si>
  <si>
    <t>A5 Installation</t>
  </si>
  <si>
    <t>B1 Utilisation</t>
  </si>
  <si>
    <t>B2 Maintenance</t>
  </si>
  <si>
    <t>B3 Réparation</t>
  </si>
  <si>
    <t>B4 Remplacement</t>
  </si>
  <si>
    <t>B5 Réhabilitation</t>
  </si>
  <si>
    <t>B6 Utilisation de l'énergie</t>
  </si>
  <si>
    <t>B7 Utilisation de l'eau</t>
  </si>
  <si>
    <t>C1 Déconstruction / démoliton</t>
  </si>
  <si>
    <t>C2 Transport</t>
  </si>
  <si>
    <t>C3 Traitement des déchets</t>
  </si>
  <si>
    <t>C4 Élimination</t>
  </si>
  <si>
    <t>D Bénéfices et charges au-delà des frontières du système</t>
  </si>
  <si>
    <t>Changement climatique - total (kg CO2 eq.)</t>
  </si>
  <si>
    <t>STEICO flex F [100mm]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</si>
</sst>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
  </numFmts>
  <fonts count="6">
    <font>
      <sz val="12"/>
      <color theme="1"/>
      <name val="Aptos Narrow"/>
      <family val="2"/>
      <scheme val="minor"/>
    </font>
    <font>
      <b/>
      <sz val="12"/>
      <color theme="0"/>
      <name val="Aptos Narrow"/>
      <family val="2"/>
      <scheme val="minor"/>
    </font>
    <font>
      <b/>
      <sz val="12"/>
      <color rgb="FFFFFFFF"/>
      <name val="Calibri"/>
      <family val="2"/>
    </font>
    <font>
      <sz val="12"/>
      <color rgb="FF000000"/>
      <name val="Calibri"/>
      <family val="2"/>
    </font>
    <font>
      <b/>
      <sz val="8.5"/>
      <color theme="0"/>
      <name val="Arial MT"/>
    </font>
    <font>
      <sz val="12"/>
      <color rgb="FF000000"/>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4472C4"/>
        <bgColor rgb="FF4472C4"/>
      </patternFill>
    </fill>
    <fill>
      <patternFill patternType="solid">
        <fgColor rgb="FFD9E1F2"/>
        <bgColor rgb="FFD9E1F2"/>
      </patternFill>
    </fill>
    <fill>
      <patternFill patternType="solid">
        <fgColor theme="4"/>
        <bgColor theme="4"/>
      </patternFill>
    </fill>
  </fills>
  <borders count="7">
    <border>
      <left/>
      <right/>
      <top/>
      <bottom/>
      <diagonal/>
    </border>
    <border>
      <left style="thin">
        <color rgb="FF8EA9DB"/>
      </left>
      <right/>
      <top style="thin">
        <color rgb="FF8EA9DB"/>
      </top>
      <bottom/>
      <diagonal/>
    </border>
    <border>
      <left/>
      <right/>
      <top style="thin">
        <color rgb="FF8EA9DB"/>
      </top>
      <bottom/>
      <diagonal/>
    </border>
    <border>
      <left/>
      <right style="thin">
        <color rgb="FF8EA9DB"/>
      </right>
      <top style="thin">
        <color rgb="FF8EA9DB"/>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32">
    <xf numFmtId="0" fontId="0" fillId="0" borderId="0" xfId="0"/>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2" fontId="2" fillId="3" borderId="2" xfId="0" applyNumberFormat="1" applyFont="1" applyFill="1" applyBorder="1" applyAlignment="1">
      <alignment horizontal="center" vertical="center" wrapText="1"/>
    </xf>
    <xf numFmtId="2" fontId="2" fillId="3" borderId="3"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2" fontId="3" fillId="4" borderId="2" xfId="0" applyNumberFormat="1" applyFont="1" applyFill="1" applyBorder="1" applyAlignment="1">
      <alignment horizontal="center" vertical="center"/>
    </xf>
    <xf numFmtId="0" fontId="3" fillId="4" borderId="3"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2" fontId="3" fillId="0" borderId="2" xfId="0" applyNumberFormat="1"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167" fontId="4" fillId="5" borderId="5" xfId="0" applyNumberFormat="1" applyFont="1" applyFill="1" applyBorder="1" applyAlignment="1">
      <alignment horizontal="center" vertical="center" textRotation="90" wrapText="1"/>
    </xf>
    <xf numFmtId="167" fontId="4" fillId="5" borderId="6" xfId="0" applyNumberFormat="1" applyFont="1" applyFill="1" applyBorder="1" applyAlignment="1">
      <alignment horizontal="center" vertical="center" textRotation="90" wrapText="1"/>
    </xf>
    <xf numFmtId="0" fontId="0" fillId="2" borderId="4" xfId="0" applyFill="1" applyBorder="1" applyAlignment="1">
      <alignment horizontal="center" vertical="center"/>
    </xf>
    <xf numFmtId="0" fontId="0" fillId="2" borderId="5" xfId="0" applyFill="1" applyBorder="1" applyAlignment="1">
      <alignment horizontal="center" vertical="center"/>
    </xf>
    <xf numFmtId="167" fontId="5" fillId="2" borderId="5" xfId="0" applyNumberFormat="1" applyFont="1" applyFill="1" applyBorder="1" applyAlignment="1">
      <alignment horizontal="center" vertical="center" shrinkToFit="1"/>
    </xf>
    <xf numFmtId="167" fontId="5" fillId="2" borderId="6" xfId="0" applyNumberFormat="1" applyFont="1" applyFill="1" applyBorder="1" applyAlignment="1">
      <alignment horizontal="center" vertical="center" shrinkToFit="1"/>
    </xf>
    <xf numFmtId="0" fontId="0" fillId="0" borderId="4" xfId="0" applyBorder="1" applyAlignment="1">
      <alignment horizontal="center" vertical="center"/>
    </xf>
    <xf numFmtId="0" fontId="0" fillId="0" borderId="5" xfId="0" applyBorder="1" applyAlignment="1">
      <alignment horizontal="center" vertical="center"/>
    </xf>
    <xf numFmtId="167" fontId="0" fillId="0" borderId="5" xfId="0" applyNumberFormat="1" applyBorder="1" applyAlignment="1">
      <alignment horizontal="center" vertical="center"/>
    </xf>
    <xf numFmtId="167" fontId="0" fillId="0" borderId="6" xfId="0" applyNumberFormat="1" applyBorder="1" applyAlignment="1">
      <alignment horizontal="center" vertical="center"/>
    </xf>
    <xf numFmtId="167" fontId="0" fillId="2" borderId="5" xfId="0" applyNumberFormat="1" applyFill="1" applyBorder="1" applyAlignment="1">
      <alignment horizontal="center" vertical="center"/>
    </xf>
    <xf numFmtId="167" fontId="0" fillId="2" borderId="6" xfId="0" applyNumberForma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2DCA6-94EF-BB4E-8305-B03C2D8E6E65}">
  <dimension ref="A1:O21"/>
  <sheetViews>
    <sheetView topLeftCell="A7" zoomScaleNormal="100" workbookViewId="0">
      <selection sqref="A1:O21"/>
    </sheetView>
  </sheetViews>
  <sheetFormatPr baseColWidth="10" defaultRowHeight="16"/>
  <sheetData>
    <row r="1" spans="1:15" ht="68">
      <c r="A1" s="1" t="s">
        <v>94</v>
      </c>
      <c r="B1" s="2" t="s">
        <v>95</v>
      </c>
      <c r="C1" s="2" t="s">
        <v>96</v>
      </c>
      <c r="D1" s="2" t="s">
        <v>97</v>
      </c>
      <c r="E1" s="2" t="s">
        <v>98</v>
      </c>
      <c r="F1" s="2" t="s">
        <v>99</v>
      </c>
      <c r="G1" s="2" t="s">
        <v>100</v>
      </c>
      <c r="H1" s="2" t="s">
        <v>101</v>
      </c>
      <c r="I1" s="2" t="s">
        <v>102</v>
      </c>
      <c r="J1" s="2" t="s">
        <v>103</v>
      </c>
      <c r="K1" s="2" t="s">
        <v>104</v>
      </c>
      <c r="L1" s="2" t="s">
        <v>105</v>
      </c>
      <c r="M1" s="3" t="s">
        <v>106</v>
      </c>
      <c r="N1" s="3" t="s">
        <v>107</v>
      </c>
      <c r="O1" s="4" t="s">
        <v>108</v>
      </c>
    </row>
    <row r="2" spans="1:15" ht="388">
      <c r="A2" s="5" t="s">
        <v>0</v>
      </c>
      <c r="B2" s="6" t="s">
        <v>1</v>
      </c>
      <c r="C2" s="6" t="s">
        <v>2</v>
      </c>
      <c r="D2" s="6" t="s">
        <v>3</v>
      </c>
      <c r="E2" s="6" t="s">
        <v>4</v>
      </c>
      <c r="F2" s="6" t="s">
        <v>5</v>
      </c>
      <c r="G2" s="7" t="s">
        <v>6</v>
      </c>
      <c r="H2" s="6" t="s">
        <v>7</v>
      </c>
      <c r="I2" s="6" t="s">
        <v>8</v>
      </c>
      <c r="J2" s="7" t="s">
        <v>9</v>
      </c>
      <c r="K2" s="7"/>
      <c r="L2" s="7"/>
      <c r="M2" s="8">
        <v>30.36</v>
      </c>
      <c r="N2" s="6"/>
      <c r="O2" s="9"/>
    </row>
    <row r="3" spans="1:15" ht="372">
      <c r="A3" s="10" t="s">
        <v>10</v>
      </c>
      <c r="B3" s="11" t="s">
        <v>1</v>
      </c>
      <c r="C3" s="11" t="s">
        <v>2</v>
      </c>
      <c r="D3" s="11" t="s">
        <v>3</v>
      </c>
      <c r="E3" s="11" t="s">
        <v>4</v>
      </c>
      <c r="F3" s="11" t="s">
        <v>5</v>
      </c>
      <c r="G3" s="12" t="s">
        <v>11</v>
      </c>
      <c r="H3" s="11" t="s">
        <v>7</v>
      </c>
      <c r="I3" s="11" t="s">
        <v>8</v>
      </c>
      <c r="J3" s="12" t="s">
        <v>9</v>
      </c>
      <c r="K3" s="12"/>
      <c r="L3" s="12"/>
      <c r="M3" s="13">
        <v>36.11</v>
      </c>
      <c r="N3" s="11"/>
      <c r="O3" s="14"/>
    </row>
    <row r="4" spans="1:15" ht="372">
      <c r="A4" s="5" t="s">
        <v>12</v>
      </c>
      <c r="B4" s="6" t="s">
        <v>1</v>
      </c>
      <c r="C4" s="6" t="s">
        <v>2</v>
      </c>
      <c r="D4" s="6" t="s">
        <v>3</v>
      </c>
      <c r="E4" s="6" t="s">
        <v>4</v>
      </c>
      <c r="F4" s="6" t="s">
        <v>5</v>
      </c>
      <c r="G4" s="7" t="s">
        <v>13</v>
      </c>
      <c r="H4" s="6" t="s">
        <v>7</v>
      </c>
      <c r="I4" s="6" t="s">
        <v>8</v>
      </c>
      <c r="J4" s="7" t="s">
        <v>9</v>
      </c>
      <c r="K4" s="7"/>
      <c r="L4" s="7"/>
      <c r="M4" s="8">
        <v>56.85</v>
      </c>
      <c r="N4" s="6"/>
      <c r="O4" s="9"/>
    </row>
    <row r="5" spans="1:15" ht="372">
      <c r="A5" s="10" t="s">
        <v>14</v>
      </c>
      <c r="B5" s="11" t="s">
        <v>1</v>
      </c>
      <c r="C5" s="11" t="s">
        <v>2</v>
      </c>
      <c r="D5" s="11" t="s">
        <v>3</v>
      </c>
      <c r="E5" s="11" t="s">
        <v>4</v>
      </c>
      <c r="F5" s="11" t="s">
        <v>5</v>
      </c>
      <c r="G5" s="12" t="s">
        <v>15</v>
      </c>
      <c r="H5" s="11" t="s">
        <v>7</v>
      </c>
      <c r="I5" s="11" t="s">
        <v>8</v>
      </c>
      <c r="J5" s="12" t="s">
        <v>9</v>
      </c>
      <c r="K5" s="12"/>
      <c r="L5" s="12"/>
      <c r="M5" s="13">
        <v>66.36</v>
      </c>
      <c r="N5" s="11"/>
      <c r="O5" s="14"/>
    </row>
    <row r="6" spans="1:15" ht="409.6">
      <c r="A6" s="5" t="s">
        <v>16</v>
      </c>
      <c r="B6" s="6" t="s">
        <v>17</v>
      </c>
      <c r="C6" s="6" t="s">
        <v>2</v>
      </c>
      <c r="D6" s="6" t="s">
        <v>18</v>
      </c>
      <c r="E6" s="6" t="s">
        <v>19</v>
      </c>
      <c r="F6" s="6" t="s">
        <v>20</v>
      </c>
      <c r="G6" s="7" t="s">
        <v>21</v>
      </c>
      <c r="H6" s="6" t="s">
        <v>22</v>
      </c>
      <c r="I6" s="6" t="s">
        <v>23</v>
      </c>
      <c r="J6" s="7" t="s">
        <v>24</v>
      </c>
      <c r="K6" s="7"/>
      <c r="L6" s="7"/>
      <c r="M6" s="8">
        <v>761</v>
      </c>
      <c r="N6" s="7" t="s">
        <v>25</v>
      </c>
      <c r="O6" s="9"/>
    </row>
    <row r="7" spans="1:15" ht="409.6">
      <c r="A7" s="10" t="s">
        <v>26</v>
      </c>
      <c r="B7" s="11" t="s">
        <v>27</v>
      </c>
      <c r="C7" s="11" t="s">
        <v>2</v>
      </c>
      <c r="D7" s="11" t="s">
        <v>28</v>
      </c>
      <c r="E7" s="11" t="s">
        <v>29</v>
      </c>
      <c r="F7" s="11" t="s">
        <v>20</v>
      </c>
      <c r="G7" s="12" t="s">
        <v>30</v>
      </c>
      <c r="H7" s="11" t="s">
        <v>31</v>
      </c>
      <c r="I7" s="11" t="s">
        <v>23</v>
      </c>
      <c r="J7" s="12" t="s">
        <v>32</v>
      </c>
      <c r="K7" s="12"/>
      <c r="L7" s="12"/>
      <c r="M7" s="13">
        <v>24.6</v>
      </c>
      <c r="N7" s="12" t="s">
        <v>33</v>
      </c>
      <c r="O7" s="15" t="s">
        <v>34</v>
      </c>
    </row>
    <row r="8" spans="1:15" ht="409.6">
      <c r="A8" s="5" t="s">
        <v>35</v>
      </c>
      <c r="B8" s="7" t="s">
        <v>36</v>
      </c>
      <c r="C8" s="6" t="s">
        <v>2</v>
      </c>
      <c r="D8" s="6" t="s">
        <v>18</v>
      </c>
      <c r="E8" s="6" t="s">
        <v>37</v>
      </c>
      <c r="F8" s="6" t="s">
        <v>20</v>
      </c>
      <c r="G8" s="7" t="s">
        <v>38</v>
      </c>
      <c r="H8" s="6" t="s">
        <v>22</v>
      </c>
      <c r="I8" s="6" t="s">
        <v>23</v>
      </c>
      <c r="J8" s="7" t="s">
        <v>39</v>
      </c>
      <c r="K8" s="7"/>
      <c r="L8" s="7"/>
      <c r="M8" s="8">
        <v>716</v>
      </c>
      <c r="N8" s="6"/>
      <c r="O8" s="9"/>
    </row>
    <row r="9" spans="1:15" ht="272">
      <c r="A9" s="10" t="s">
        <v>40</v>
      </c>
      <c r="B9" s="11" t="s">
        <v>41</v>
      </c>
      <c r="C9" s="11" t="s">
        <v>42</v>
      </c>
      <c r="D9" s="11" t="s">
        <v>43</v>
      </c>
      <c r="E9" s="11" t="s">
        <v>44</v>
      </c>
      <c r="F9" s="11" t="s">
        <v>20</v>
      </c>
      <c r="G9" s="12" t="s">
        <v>45</v>
      </c>
      <c r="H9" s="11" t="s">
        <v>31</v>
      </c>
      <c r="I9" s="11" t="s">
        <v>23</v>
      </c>
      <c r="J9" s="12" t="s">
        <v>46</v>
      </c>
      <c r="K9" s="12"/>
      <c r="L9" s="12"/>
      <c r="M9" s="13">
        <v>0</v>
      </c>
      <c r="N9" s="11"/>
      <c r="O9" s="14"/>
    </row>
    <row r="10" spans="1:15" ht="255">
      <c r="A10" s="5" t="s">
        <v>47</v>
      </c>
      <c r="B10" s="6" t="s">
        <v>41</v>
      </c>
      <c r="C10" s="6" t="s">
        <v>48</v>
      </c>
      <c r="D10" s="6" t="s">
        <v>43</v>
      </c>
      <c r="E10" s="6" t="s">
        <v>44</v>
      </c>
      <c r="F10" s="6" t="s">
        <v>20</v>
      </c>
      <c r="G10" s="7" t="s">
        <v>49</v>
      </c>
      <c r="H10" s="6" t="s">
        <v>31</v>
      </c>
      <c r="I10" s="6" t="s">
        <v>23</v>
      </c>
      <c r="J10" s="7" t="s">
        <v>46</v>
      </c>
      <c r="K10" s="7"/>
      <c r="L10" s="7"/>
      <c r="M10" s="8">
        <v>0</v>
      </c>
      <c r="N10" s="6"/>
      <c r="O10" s="9"/>
    </row>
    <row r="11" spans="1:15" ht="409.6">
      <c r="A11" s="10" t="s">
        <v>50</v>
      </c>
      <c r="B11" s="11" t="s">
        <v>51</v>
      </c>
      <c r="C11" s="12" t="s">
        <v>52</v>
      </c>
      <c r="D11" s="11" t="s">
        <v>53</v>
      </c>
      <c r="E11" s="11" t="s">
        <v>54</v>
      </c>
      <c r="F11" s="11" t="s">
        <v>20</v>
      </c>
      <c r="G11" s="12" t="s">
        <v>55</v>
      </c>
      <c r="H11" s="11" t="s">
        <v>31</v>
      </c>
      <c r="I11" s="11" t="s">
        <v>8</v>
      </c>
      <c r="J11" s="12" t="s">
        <v>56</v>
      </c>
      <c r="K11" s="12"/>
      <c r="L11" s="11"/>
      <c r="M11" s="13">
        <v>8.5500000000000007</v>
      </c>
      <c r="N11" s="12" t="s">
        <v>57</v>
      </c>
      <c r="O11" s="14"/>
    </row>
    <row r="12" spans="1:15" ht="409.6">
      <c r="A12" s="5" t="s">
        <v>58</v>
      </c>
      <c r="B12" s="6" t="s">
        <v>59</v>
      </c>
      <c r="C12" s="7" t="s">
        <v>52</v>
      </c>
      <c r="D12" s="6" t="s">
        <v>53</v>
      </c>
      <c r="E12" s="6" t="s">
        <v>19</v>
      </c>
      <c r="F12" s="6" t="s">
        <v>20</v>
      </c>
      <c r="G12" s="7" t="s">
        <v>60</v>
      </c>
      <c r="H12" s="6" t="s">
        <v>31</v>
      </c>
      <c r="I12" s="6" t="s">
        <v>8</v>
      </c>
      <c r="J12" s="7" t="s">
        <v>61</v>
      </c>
      <c r="K12" s="7"/>
      <c r="L12" s="7"/>
      <c r="M12" s="8">
        <v>7.65</v>
      </c>
      <c r="N12" s="6"/>
      <c r="O12" s="9"/>
    </row>
    <row r="13" spans="1:15" ht="409.6">
      <c r="A13" s="10" t="s">
        <v>62</v>
      </c>
      <c r="B13" s="11" t="s">
        <v>59</v>
      </c>
      <c r="C13" s="12" t="s">
        <v>52</v>
      </c>
      <c r="D13" s="11" t="s">
        <v>53</v>
      </c>
      <c r="E13" s="11" t="s">
        <v>19</v>
      </c>
      <c r="F13" s="11" t="s">
        <v>20</v>
      </c>
      <c r="G13" s="12" t="s">
        <v>63</v>
      </c>
      <c r="H13" s="11" t="s">
        <v>31</v>
      </c>
      <c r="I13" s="11" t="s">
        <v>8</v>
      </c>
      <c r="J13" s="12" t="s">
        <v>61</v>
      </c>
      <c r="K13" s="12"/>
      <c r="L13" s="12"/>
      <c r="M13" s="13">
        <v>18.04</v>
      </c>
      <c r="N13" s="11"/>
      <c r="O13" s="14"/>
    </row>
    <row r="14" spans="1:15" ht="409.6">
      <c r="A14" s="5" t="s">
        <v>64</v>
      </c>
      <c r="B14" s="6" t="s">
        <v>59</v>
      </c>
      <c r="C14" s="7" t="s">
        <v>52</v>
      </c>
      <c r="D14" s="6" t="s">
        <v>53</v>
      </c>
      <c r="E14" s="6" t="s">
        <v>19</v>
      </c>
      <c r="F14" s="6" t="s">
        <v>20</v>
      </c>
      <c r="G14" s="7" t="s">
        <v>65</v>
      </c>
      <c r="H14" s="6" t="s">
        <v>31</v>
      </c>
      <c r="I14" s="6" t="s">
        <v>8</v>
      </c>
      <c r="J14" s="7" t="s">
        <v>61</v>
      </c>
      <c r="K14" s="7"/>
      <c r="L14" s="7"/>
      <c r="M14" s="8">
        <v>25.93</v>
      </c>
      <c r="N14" s="6"/>
      <c r="O14" s="9"/>
    </row>
    <row r="15" spans="1:15" ht="409.6">
      <c r="A15" s="10" t="s">
        <v>66</v>
      </c>
      <c r="B15" s="11" t="s">
        <v>67</v>
      </c>
      <c r="C15" s="12" t="s">
        <v>68</v>
      </c>
      <c r="D15" s="11" t="s">
        <v>69</v>
      </c>
      <c r="E15" s="11" t="s">
        <v>70</v>
      </c>
      <c r="F15" s="11" t="s">
        <v>5</v>
      </c>
      <c r="G15" s="12" t="s">
        <v>71</v>
      </c>
      <c r="H15" s="11" t="s">
        <v>22</v>
      </c>
      <c r="I15" s="11" t="s">
        <v>23</v>
      </c>
      <c r="J15" s="12" t="s">
        <v>72</v>
      </c>
      <c r="K15" s="12"/>
      <c r="L15" s="12"/>
      <c r="M15" s="13">
        <v>768.87</v>
      </c>
      <c r="N15" s="11"/>
      <c r="O15" s="14"/>
    </row>
    <row r="16" spans="1:15" ht="255">
      <c r="A16" s="5" t="s">
        <v>73</v>
      </c>
      <c r="B16" s="6" t="s">
        <v>74</v>
      </c>
      <c r="C16" s="7" t="s">
        <v>68</v>
      </c>
      <c r="D16" s="6" t="s">
        <v>69</v>
      </c>
      <c r="E16" s="6" t="s">
        <v>19</v>
      </c>
      <c r="F16" s="6" t="s">
        <v>20</v>
      </c>
      <c r="G16" s="7" t="s">
        <v>75</v>
      </c>
      <c r="H16" s="6" t="s">
        <v>22</v>
      </c>
      <c r="I16" s="6" t="s">
        <v>23</v>
      </c>
      <c r="J16" s="7" t="s">
        <v>76</v>
      </c>
      <c r="K16" s="7"/>
      <c r="L16" s="7"/>
      <c r="M16" s="8">
        <v>716</v>
      </c>
      <c r="N16" s="6"/>
      <c r="O16" s="9"/>
    </row>
    <row r="17" spans="1:15" ht="409.6">
      <c r="A17" s="10" t="s">
        <v>77</v>
      </c>
      <c r="B17" s="11" t="s">
        <v>17</v>
      </c>
      <c r="C17" s="12" t="s">
        <v>68</v>
      </c>
      <c r="D17" s="11" t="s">
        <v>69</v>
      </c>
      <c r="E17" s="11" t="s">
        <v>19</v>
      </c>
      <c r="F17" s="11" t="s">
        <v>20</v>
      </c>
      <c r="G17" s="12" t="s">
        <v>78</v>
      </c>
      <c r="H17" s="11" t="s">
        <v>22</v>
      </c>
      <c r="I17" s="11" t="s">
        <v>23</v>
      </c>
      <c r="J17" s="12" t="s">
        <v>79</v>
      </c>
      <c r="K17" s="12"/>
      <c r="L17" s="12"/>
      <c r="M17" s="13">
        <v>806</v>
      </c>
      <c r="N17" s="11"/>
      <c r="O17" s="14"/>
    </row>
    <row r="18" spans="1:15" ht="409.6">
      <c r="A18" s="16" t="s">
        <v>80</v>
      </c>
      <c r="B18" s="6" t="s">
        <v>67</v>
      </c>
      <c r="C18" s="7" t="s">
        <v>2</v>
      </c>
      <c r="D18" s="6" t="s">
        <v>18</v>
      </c>
      <c r="E18" s="6" t="s">
        <v>70</v>
      </c>
      <c r="F18" s="6" t="s">
        <v>5</v>
      </c>
      <c r="G18" s="7" t="s">
        <v>81</v>
      </c>
      <c r="H18" s="6" t="s">
        <v>22</v>
      </c>
      <c r="I18" s="6" t="s">
        <v>23</v>
      </c>
      <c r="J18" s="7" t="s">
        <v>72</v>
      </c>
      <c r="K18" s="7"/>
      <c r="L18" s="7"/>
      <c r="M18" s="8">
        <v>708</v>
      </c>
      <c r="N18" s="6"/>
      <c r="O18" s="9"/>
    </row>
    <row r="19" spans="1:15" ht="409.6">
      <c r="A19" s="10" t="s">
        <v>82</v>
      </c>
      <c r="B19" s="11" t="s">
        <v>74</v>
      </c>
      <c r="C19" s="12" t="s">
        <v>2</v>
      </c>
      <c r="D19" s="11" t="s">
        <v>18</v>
      </c>
      <c r="E19" s="11" t="s">
        <v>19</v>
      </c>
      <c r="F19" s="11" t="s">
        <v>20</v>
      </c>
      <c r="G19" s="12" t="s">
        <v>38</v>
      </c>
      <c r="H19" s="11" t="s">
        <v>22</v>
      </c>
      <c r="I19" s="11" t="s">
        <v>23</v>
      </c>
      <c r="J19" s="12" t="s">
        <v>83</v>
      </c>
      <c r="K19" s="12"/>
      <c r="L19" s="12"/>
      <c r="M19" s="13">
        <v>716</v>
      </c>
      <c r="N19" s="11"/>
      <c r="O19" s="14"/>
    </row>
    <row r="20" spans="1:15" ht="323">
      <c r="A20" s="5" t="s">
        <v>84</v>
      </c>
      <c r="B20" s="6" t="s">
        <v>85</v>
      </c>
      <c r="C20" s="7" t="s">
        <v>86</v>
      </c>
      <c r="D20" s="6" t="s">
        <v>87</v>
      </c>
      <c r="E20" s="6"/>
      <c r="F20" s="6" t="s">
        <v>20</v>
      </c>
      <c r="G20" s="7" t="s">
        <v>88</v>
      </c>
      <c r="H20" s="6" t="s">
        <v>31</v>
      </c>
      <c r="I20" s="6" t="s">
        <v>23</v>
      </c>
      <c r="J20" s="7" t="s">
        <v>89</v>
      </c>
      <c r="K20" s="7"/>
      <c r="L20" s="7"/>
      <c r="M20" s="8">
        <v>0</v>
      </c>
      <c r="N20" s="6"/>
      <c r="O20" s="9"/>
    </row>
    <row r="21" spans="1:15" ht="238">
      <c r="A21" s="17" t="s">
        <v>90</v>
      </c>
      <c r="B21" s="11" t="s">
        <v>91</v>
      </c>
      <c r="C21" s="12" t="s">
        <v>86</v>
      </c>
      <c r="D21" s="11" t="s">
        <v>53</v>
      </c>
      <c r="E21" s="11"/>
      <c r="F21" s="11" t="s">
        <v>20</v>
      </c>
      <c r="G21" s="12" t="s">
        <v>92</v>
      </c>
      <c r="H21" s="11" t="s">
        <v>31</v>
      </c>
      <c r="I21" s="11" t="s">
        <v>8</v>
      </c>
      <c r="J21" s="12" t="s">
        <v>93</v>
      </c>
      <c r="K21" s="12"/>
      <c r="L21" s="12"/>
      <c r="M21" s="13">
        <v>0</v>
      </c>
      <c r="N21" s="11"/>
      <c r="O21"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89F9-BA17-DD4A-912E-B49F22478C2F}">
  <dimension ref="A1:Q21"/>
  <sheetViews>
    <sheetView tabSelected="1" workbookViewId="0">
      <selection activeCell="D32" sqref="D32"/>
    </sheetView>
  </sheetViews>
  <sheetFormatPr baseColWidth="10" defaultRowHeight="16"/>
  <sheetData>
    <row r="1" spans="1:17" ht="63">
      <c r="A1" s="18" t="s">
        <v>94</v>
      </c>
      <c r="B1" s="19" t="s">
        <v>109</v>
      </c>
      <c r="C1" s="20" t="s">
        <v>110</v>
      </c>
      <c r="D1" s="20" t="s">
        <v>111</v>
      </c>
      <c r="E1" s="20" t="s">
        <v>112</v>
      </c>
      <c r="F1" s="20" t="s">
        <v>113</v>
      </c>
      <c r="G1" s="20" t="s">
        <v>114</v>
      </c>
      <c r="H1" s="20" t="s">
        <v>115</v>
      </c>
      <c r="I1" s="20" t="s">
        <v>116</v>
      </c>
      <c r="J1" s="20" t="s">
        <v>117</v>
      </c>
      <c r="K1" s="20" t="s">
        <v>118</v>
      </c>
      <c r="L1" s="20" t="s">
        <v>119</v>
      </c>
      <c r="M1" s="20" t="s">
        <v>120</v>
      </c>
      <c r="N1" s="20" t="s">
        <v>121</v>
      </c>
      <c r="O1" s="20" t="s">
        <v>122</v>
      </c>
      <c r="P1" s="20" t="s">
        <v>123</v>
      </c>
      <c r="Q1" s="21" t="s">
        <v>124</v>
      </c>
    </row>
    <row r="2" spans="1:17">
      <c r="A2" s="22" t="s">
        <v>0</v>
      </c>
      <c r="B2" s="23" t="s">
        <v>125</v>
      </c>
      <c r="C2" s="24">
        <v>-23</v>
      </c>
      <c r="D2" s="24">
        <v>2.1</v>
      </c>
      <c r="E2" s="24">
        <v>1.98</v>
      </c>
      <c r="F2" s="24">
        <v>0</v>
      </c>
      <c r="G2" s="24">
        <v>0</v>
      </c>
      <c r="H2" s="24">
        <v>0</v>
      </c>
      <c r="I2" s="24">
        <v>0</v>
      </c>
      <c r="J2" s="24">
        <v>0</v>
      </c>
      <c r="K2" s="24">
        <v>0</v>
      </c>
      <c r="L2" s="24">
        <v>0</v>
      </c>
      <c r="M2" s="24">
        <v>1.65</v>
      </c>
      <c r="N2" s="24">
        <v>0.29699999999999999</v>
      </c>
      <c r="O2" s="24">
        <v>29.3</v>
      </c>
      <c r="P2" s="24">
        <v>3.63</v>
      </c>
      <c r="Q2" s="25">
        <v>-27.7</v>
      </c>
    </row>
    <row r="3" spans="1:17">
      <c r="A3" s="26" t="s">
        <v>10</v>
      </c>
      <c r="B3" s="27" t="s">
        <v>125</v>
      </c>
      <c r="C3" s="28">
        <v>-27.8</v>
      </c>
      <c r="D3" s="28">
        <v>2.5299999999999998</v>
      </c>
      <c r="E3" s="28">
        <v>2.57</v>
      </c>
      <c r="F3" s="28">
        <v>0</v>
      </c>
      <c r="G3" s="28">
        <v>0</v>
      </c>
      <c r="H3" s="28">
        <v>0</v>
      </c>
      <c r="I3" s="28">
        <v>0</v>
      </c>
      <c r="J3" s="28">
        <v>0</v>
      </c>
      <c r="K3" s="28">
        <v>0</v>
      </c>
      <c r="L3" s="28">
        <v>0</v>
      </c>
      <c r="M3" s="28">
        <v>1.65</v>
      </c>
      <c r="N3" s="28">
        <v>0.35199999999999998</v>
      </c>
      <c r="O3" s="28">
        <v>34.4</v>
      </c>
      <c r="P3" s="28">
        <v>4.3099999999999996</v>
      </c>
      <c r="Q3" s="29">
        <v>-33</v>
      </c>
    </row>
    <row r="4" spans="1:17">
      <c r="A4" s="22" t="s">
        <v>12</v>
      </c>
      <c r="B4" s="23" t="s">
        <v>125</v>
      </c>
      <c r="C4" s="30">
        <v>-44.6</v>
      </c>
      <c r="D4" s="30">
        <v>3.92</v>
      </c>
      <c r="E4" s="30">
        <v>2.57</v>
      </c>
      <c r="F4" s="30">
        <v>0</v>
      </c>
      <c r="G4" s="30">
        <v>0</v>
      </c>
      <c r="H4" s="30">
        <v>0</v>
      </c>
      <c r="I4" s="30">
        <v>0</v>
      </c>
      <c r="J4" s="30">
        <v>0</v>
      </c>
      <c r="K4" s="30">
        <v>0</v>
      </c>
      <c r="L4" s="30">
        <v>0</v>
      </c>
      <c r="M4" s="30">
        <v>1.65</v>
      </c>
      <c r="N4" s="30">
        <v>0.54900000000000004</v>
      </c>
      <c r="O4" s="30">
        <v>53.7</v>
      </c>
      <c r="P4" s="30">
        <v>6.76</v>
      </c>
      <c r="Q4" s="31">
        <v>-51.3</v>
      </c>
    </row>
    <row r="5" spans="1:17">
      <c r="A5" s="26" t="s">
        <v>14</v>
      </c>
      <c r="B5" s="27" t="s">
        <v>125</v>
      </c>
      <c r="C5" s="28">
        <v>-52.4</v>
      </c>
      <c r="D5" s="28">
        <v>4.55</v>
      </c>
      <c r="E5" s="28">
        <v>2.57</v>
      </c>
      <c r="F5" s="28">
        <v>0</v>
      </c>
      <c r="G5" s="28">
        <v>0</v>
      </c>
      <c r="H5" s="28">
        <v>0</v>
      </c>
      <c r="I5" s="28">
        <v>0</v>
      </c>
      <c r="J5" s="28">
        <v>0</v>
      </c>
      <c r="K5" s="28">
        <v>0</v>
      </c>
      <c r="L5" s="28">
        <v>0</v>
      </c>
      <c r="M5" s="28">
        <v>1.65</v>
      </c>
      <c r="N5" s="28">
        <v>0.63900000000000001</v>
      </c>
      <c r="O5" s="28">
        <v>62.5</v>
      </c>
      <c r="P5" s="28">
        <v>7.89</v>
      </c>
      <c r="Q5" s="29">
        <v>-59.4</v>
      </c>
    </row>
    <row r="6" spans="1:17">
      <c r="A6" s="22" t="s">
        <v>16</v>
      </c>
      <c r="B6" s="23" t="s">
        <v>125</v>
      </c>
      <c r="C6" s="30">
        <v>-707.24</v>
      </c>
      <c r="D6" s="30">
        <v>50.9</v>
      </c>
      <c r="E6" s="30">
        <v>9.09</v>
      </c>
      <c r="F6" s="30">
        <v>0</v>
      </c>
      <c r="G6" s="30">
        <v>0</v>
      </c>
      <c r="H6" s="30">
        <v>0</v>
      </c>
      <c r="I6" s="30">
        <v>0</v>
      </c>
      <c r="J6" s="30">
        <v>0</v>
      </c>
      <c r="K6" s="30">
        <v>0</v>
      </c>
      <c r="L6" s="30">
        <v>0</v>
      </c>
      <c r="M6" s="30">
        <v>3.95</v>
      </c>
      <c r="N6" s="30">
        <v>3.79</v>
      </c>
      <c r="O6" s="30">
        <v>516</v>
      </c>
      <c r="P6" s="30">
        <v>164</v>
      </c>
      <c r="Q6" s="31">
        <v>-67.5</v>
      </c>
    </row>
    <row r="7" spans="1:17">
      <c r="A7" s="26" t="s">
        <v>26</v>
      </c>
      <c r="B7" s="27" t="s">
        <v>125</v>
      </c>
      <c r="C7" s="28">
        <v>-18.3</v>
      </c>
      <c r="D7" s="28">
        <v>0.28100000000000003</v>
      </c>
      <c r="E7" s="28">
        <v>1.18</v>
      </c>
      <c r="F7" s="28">
        <v>0</v>
      </c>
      <c r="G7" s="28">
        <v>0</v>
      </c>
      <c r="H7" s="28">
        <v>0</v>
      </c>
      <c r="I7" s="28">
        <v>0</v>
      </c>
      <c r="J7" s="28">
        <v>0</v>
      </c>
      <c r="K7" s="28">
        <v>0</v>
      </c>
      <c r="L7" s="28">
        <v>0</v>
      </c>
      <c r="M7" s="28">
        <v>1.1000000000000001</v>
      </c>
      <c r="N7" s="28">
        <v>7.6300000000000007E-2</v>
      </c>
      <c r="O7" s="28">
        <v>21.9</v>
      </c>
      <c r="P7" s="28">
        <v>1.44</v>
      </c>
      <c r="Q7" s="29">
        <v>-9.9600000000000009</v>
      </c>
    </row>
    <row r="8" spans="1:17">
      <c r="A8" s="22" t="s">
        <v>35</v>
      </c>
      <c r="B8" s="23" t="s">
        <v>125</v>
      </c>
      <c r="C8" s="30">
        <v>-607</v>
      </c>
      <c r="D8" s="30">
        <v>8.9</v>
      </c>
      <c r="E8" s="30">
        <v>43.7</v>
      </c>
      <c r="F8" s="30">
        <v>0</v>
      </c>
      <c r="G8" s="30">
        <v>0</v>
      </c>
      <c r="H8" s="30">
        <v>0</v>
      </c>
      <c r="I8" s="30">
        <v>0</v>
      </c>
      <c r="J8" s="30">
        <v>0</v>
      </c>
      <c r="K8" s="30">
        <v>0</v>
      </c>
      <c r="L8" s="30">
        <v>0</v>
      </c>
      <c r="M8" s="30">
        <v>11.8</v>
      </c>
      <c r="N8" s="30">
        <v>2.97</v>
      </c>
      <c r="O8" s="30">
        <v>414</v>
      </c>
      <c r="P8" s="30">
        <v>224</v>
      </c>
      <c r="Q8" s="31">
        <v>-130</v>
      </c>
    </row>
    <row r="9" spans="1:17">
      <c r="A9" s="26" t="s">
        <v>40</v>
      </c>
      <c r="B9" s="27" t="s">
        <v>125</v>
      </c>
      <c r="C9" s="28">
        <v>36.457000000000001</v>
      </c>
      <c r="D9" s="28">
        <v>1.3189</v>
      </c>
      <c r="E9" s="28">
        <v>13.565</v>
      </c>
      <c r="F9" s="28">
        <v>-3.1505999999999998</v>
      </c>
      <c r="G9" s="28">
        <v>0</v>
      </c>
      <c r="H9" s="28">
        <v>0</v>
      </c>
      <c r="I9" s="28">
        <v>0</v>
      </c>
      <c r="J9" s="28">
        <v>0</v>
      </c>
      <c r="K9" s="28">
        <v>0</v>
      </c>
      <c r="L9" s="28">
        <v>0</v>
      </c>
      <c r="M9" s="28">
        <v>2.6126</v>
      </c>
      <c r="N9" s="28">
        <v>0.99694000000000005</v>
      </c>
      <c r="O9" s="28">
        <v>0.16517000000000001</v>
      </c>
      <c r="P9" s="28">
        <v>-3.1215999999999999</v>
      </c>
      <c r="Q9" s="29">
        <v>-2.5701000000000001</v>
      </c>
    </row>
    <row r="10" spans="1:17">
      <c r="A10" s="22" t="s">
        <v>47</v>
      </c>
      <c r="B10" s="23" t="s">
        <v>125</v>
      </c>
      <c r="C10" s="30">
        <v>37.747999999999998</v>
      </c>
      <c r="D10" s="30">
        <v>1.4654</v>
      </c>
      <c r="E10" s="30">
        <v>14.342000000000001</v>
      </c>
      <c r="F10" s="30">
        <v>-1.9790000000000001</v>
      </c>
      <c r="G10" s="30">
        <v>0</v>
      </c>
      <c r="H10" s="30">
        <v>0</v>
      </c>
      <c r="I10" s="30">
        <v>0</v>
      </c>
      <c r="J10" s="30">
        <v>0</v>
      </c>
      <c r="K10" s="30">
        <v>0</v>
      </c>
      <c r="L10" s="30">
        <v>0</v>
      </c>
      <c r="M10" s="30">
        <v>2.9028999999999998</v>
      </c>
      <c r="N10" s="30">
        <v>1.0989</v>
      </c>
      <c r="O10" s="30">
        <v>0.18206</v>
      </c>
      <c r="P10" s="30">
        <v>-3.5386000000000002</v>
      </c>
      <c r="Q10" s="31">
        <v>-2.4965999999999999</v>
      </c>
    </row>
    <row r="11" spans="1:17">
      <c r="A11" s="26" t="s">
        <v>126</v>
      </c>
      <c r="B11" s="27" t="s">
        <v>125</v>
      </c>
      <c r="C11" s="28">
        <v>-6.17</v>
      </c>
      <c r="D11" s="28">
        <v>0.20300000000000001</v>
      </c>
      <c r="E11" s="28">
        <v>0.50700000000000001</v>
      </c>
      <c r="F11" s="28">
        <v>0</v>
      </c>
      <c r="G11" s="28">
        <v>0</v>
      </c>
      <c r="H11" s="28">
        <v>0</v>
      </c>
      <c r="I11" s="28">
        <v>0</v>
      </c>
      <c r="J11" s="28">
        <v>0</v>
      </c>
      <c r="K11" s="28">
        <v>0</v>
      </c>
      <c r="L11" s="28">
        <v>0</v>
      </c>
      <c r="M11" s="28">
        <v>0</v>
      </c>
      <c r="N11" s="28">
        <v>8.1499999999999993E-3</v>
      </c>
      <c r="O11" s="28">
        <v>5.01</v>
      </c>
      <c r="P11" s="28">
        <v>3.91</v>
      </c>
      <c r="Q11" s="29">
        <v>-0.86699999999999999</v>
      </c>
    </row>
    <row r="12" spans="1:17">
      <c r="A12" s="22" t="s">
        <v>58</v>
      </c>
      <c r="B12" s="23" t="s">
        <v>125</v>
      </c>
      <c r="C12" s="30">
        <f>-6.45+0.0618+3.19</f>
        <v>-3.1982000000000004</v>
      </c>
      <c r="D12" s="30">
        <v>0.38</v>
      </c>
      <c r="E12" s="30">
        <v>0.155</v>
      </c>
      <c r="F12" s="30">
        <v>0</v>
      </c>
      <c r="G12" s="30">
        <v>0</v>
      </c>
      <c r="H12" s="30">
        <v>0</v>
      </c>
      <c r="I12" s="30">
        <v>0</v>
      </c>
      <c r="J12" s="30">
        <v>0</v>
      </c>
      <c r="K12" s="30">
        <v>0</v>
      </c>
      <c r="L12" s="30">
        <v>0</v>
      </c>
      <c r="M12" s="30">
        <v>0</v>
      </c>
      <c r="N12" s="30">
        <v>2.06E-2</v>
      </c>
      <c r="O12" s="30">
        <v>0</v>
      </c>
      <c r="P12" s="30">
        <v>4.9400000000000004</v>
      </c>
      <c r="Q12" s="31">
        <v>0</v>
      </c>
    </row>
    <row r="13" spans="1:17">
      <c r="A13" s="26" t="s">
        <v>62</v>
      </c>
      <c r="B13" s="27" t="s">
        <v>125</v>
      </c>
      <c r="C13" s="28">
        <f>-15.7+0.105+3.78</f>
        <v>-11.815</v>
      </c>
      <c r="D13" s="28">
        <v>0.85199999999999998</v>
      </c>
      <c r="E13" s="28">
        <v>1.18</v>
      </c>
      <c r="F13" s="28">
        <v>0</v>
      </c>
      <c r="G13" s="28">
        <v>0</v>
      </c>
      <c r="H13" s="28">
        <v>0</v>
      </c>
      <c r="I13" s="28">
        <v>0</v>
      </c>
      <c r="J13" s="28">
        <v>0</v>
      </c>
      <c r="K13" s="28">
        <v>0</v>
      </c>
      <c r="L13" s="28">
        <v>0</v>
      </c>
      <c r="M13" s="28">
        <v>1.7600000000000001E-2</v>
      </c>
      <c r="N13" s="28">
        <v>4.7600000000000003E-2</v>
      </c>
      <c r="O13" s="28">
        <v>0</v>
      </c>
      <c r="P13" s="28">
        <v>11.6</v>
      </c>
      <c r="Q13" s="29">
        <v>0</v>
      </c>
    </row>
    <row r="14" spans="1:17">
      <c r="A14" s="22" t="s">
        <v>64</v>
      </c>
      <c r="B14" s="23" t="s">
        <v>125</v>
      </c>
      <c r="C14" s="30">
        <f>-22.6+0.151+5.43</f>
        <v>-17.019000000000002</v>
      </c>
      <c r="D14" s="30">
        <v>1.22</v>
      </c>
      <c r="E14" s="30">
        <v>1.53</v>
      </c>
      <c r="F14" s="30">
        <v>0</v>
      </c>
      <c r="G14" s="30">
        <v>0</v>
      </c>
      <c r="H14" s="30">
        <v>0</v>
      </c>
      <c r="I14" s="30">
        <v>0</v>
      </c>
      <c r="J14" s="30">
        <v>0</v>
      </c>
      <c r="K14" s="30">
        <v>0</v>
      </c>
      <c r="L14" s="30">
        <v>0</v>
      </c>
      <c r="M14" s="30">
        <v>7.0400000000000004E-2</v>
      </c>
      <c r="N14" s="30">
        <v>6.7199999999999996E-2</v>
      </c>
      <c r="O14" s="30">
        <v>0</v>
      </c>
      <c r="P14" s="30">
        <v>16.7</v>
      </c>
      <c r="Q14" s="31">
        <v>0</v>
      </c>
    </row>
    <row r="15" spans="1:17">
      <c r="A15" s="26" t="s">
        <v>66</v>
      </c>
      <c r="B15" s="27" t="s">
        <v>125</v>
      </c>
      <c r="C15" s="28">
        <v>-650</v>
      </c>
      <c r="D15" s="28">
        <v>12.9</v>
      </c>
      <c r="E15" s="28">
        <v>9.31</v>
      </c>
      <c r="F15" s="28">
        <v>0</v>
      </c>
      <c r="G15" s="28">
        <v>0</v>
      </c>
      <c r="H15" s="28">
        <v>0</v>
      </c>
      <c r="I15" s="28">
        <v>0</v>
      </c>
      <c r="J15" s="28">
        <v>0</v>
      </c>
      <c r="K15" s="28">
        <v>0</v>
      </c>
      <c r="L15" s="28">
        <v>0</v>
      </c>
      <c r="M15" s="28">
        <v>6.12</v>
      </c>
      <c r="N15" s="28">
        <v>1.4</v>
      </c>
      <c r="O15" s="28">
        <v>730</v>
      </c>
      <c r="P15" s="28">
        <v>71.2</v>
      </c>
      <c r="Q15" s="29">
        <v>-254</v>
      </c>
    </row>
    <row r="16" spans="1:17">
      <c r="A16" s="22" t="s">
        <v>73</v>
      </c>
      <c r="B16" s="23" t="s">
        <v>125</v>
      </c>
      <c r="C16" s="30">
        <v>-685</v>
      </c>
      <c r="D16" s="30">
        <v>5.87</v>
      </c>
      <c r="E16" s="30">
        <v>12.3</v>
      </c>
      <c r="F16" s="30">
        <v>0</v>
      </c>
      <c r="G16" s="30">
        <v>0</v>
      </c>
      <c r="H16" s="30">
        <v>0</v>
      </c>
      <c r="I16" s="30">
        <v>0</v>
      </c>
      <c r="J16" s="30">
        <v>0</v>
      </c>
      <c r="K16" s="30">
        <v>0</v>
      </c>
      <c r="L16" s="30">
        <v>0</v>
      </c>
      <c r="M16" s="30">
        <v>12.3</v>
      </c>
      <c r="N16" s="30">
        <v>2.94</v>
      </c>
      <c r="O16" s="30">
        <v>414</v>
      </c>
      <c r="P16" s="30">
        <v>221</v>
      </c>
      <c r="Q16" s="31">
        <v>-130</v>
      </c>
    </row>
    <row r="17" spans="1:17">
      <c r="A17" s="26" t="s">
        <v>77</v>
      </c>
      <c r="B17" s="27" t="s">
        <v>125</v>
      </c>
      <c r="C17" s="28">
        <f>-702+7+55.1</f>
        <v>-639.9</v>
      </c>
      <c r="D17" s="28">
        <v>129</v>
      </c>
      <c r="E17" s="28">
        <v>5.98</v>
      </c>
      <c r="F17" s="28">
        <v>0</v>
      </c>
      <c r="G17" s="28">
        <v>0</v>
      </c>
      <c r="H17" s="28">
        <v>0</v>
      </c>
      <c r="I17" s="28">
        <v>0</v>
      </c>
      <c r="J17" s="28">
        <v>0</v>
      </c>
      <c r="K17" s="28">
        <v>0</v>
      </c>
      <c r="L17" s="28">
        <v>0</v>
      </c>
      <c r="M17" s="28">
        <v>2.08</v>
      </c>
      <c r="N17" s="28">
        <v>10.8</v>
      </c>
      <c r="O17" s="28">
        <v>466</v>
      </c>
      <c r="P17" s="28">
        <v>274</v>
      </c>
      <c r="Q17" s="29">
        <v>-712</v>
      </c>
    </row>
    <row r="18" spans="1:17">
      <c r="A18" s="22" t="s">
        <v>80</v>
      </c>
      <c r="B18" s="23" t="s">
        <v>125</v>
      </c>
      <c r="C18" s="30">
        <v>-604</v>
      </c>
      <c r="D18" s="30">
        <v>11.9</v>
      </c>
      <c r="E18" s="30">
        <v>1.89</v>
      </c>
      <c r="F18" s="30">
        <v>0</v>
      </c>
      <c r="G18" s="30">
        <v>0</v>
      </c>
      <c r="H18" s="30">
        <v>0</v>
      </c>
      <c r="I18" s="30">
        <v>0</v>
      </c>
      <c r="J18" s="30">
        <v>0</v>
      </c>
      <c r="K18" s="30">
        <v>0</v>
      </c>
      <c r="L18" s="30">
        <v>0</v>
      </c>
      <c r="M18" s="30">
        <v>11.3</v>
      </c>
      <c r="N18" s="30">
        <v>1.29</v>
      </c>
      <c r="O18" s="30">
        <v>679</v>
      </c>
      <c r="P18" s="30">
        <v>66.099999999999994</v>
      </c>
      <c r="Q18" s="31">
        <v>-233</v>
      </c>
    </row>
    <row r="19" spans="1:17">
      <c r="A19" s="26" t="s">
        <v>82</v>
      </c>
      <c r="B19" s="27" t="s">
        <v>125</v>
      </c>
      <c r="C19" s="28">
        <v>-618</v>
      </c>
      <c r="D19" s="28">
        <v>9.5399999999999991</v>
      </c>
      <c r="E19" s="28">
        <v>44.7</v>
      </c>
      <c r="F19" s="28">
        <v>0</v>
      </c>
      <c r="G19" s="28">
        <v>0</v>
      </c>
      <c r="H19" s="28">
        <v>0</v>
      </c>
      <c r="I19" s="28">
        <v>0</v>
      </c>
      <c r="J19" s="28">
        <v>0</v>
      </c>
      <c r="K19" s="28">
        <v>0</v>
      </c>
      <c r="L19" s="28">
        <v>0</v>
      </c>
      <c r="M19" s="28">
        <v>11.18</v>
      </c>
      <c r="N19" s="28">
        <v>2.97</v>
      </c>
      <c r="O19" s="28">
        <v>413</v>
      </c>
      <c r="P19" s="28">
        <v>224</v>
      </c>
      <c r="Q19" s="29">
        <v>-130</v>
      </c>
    </row>
    <row r="20" spans="1:17">
      <c r="A20" s="22" t="s">
        <v>84</v>
      </c>
      <c r="B20" s="23" t="s">
        <v>125</v>
      </c>
      <c r="C20" s="30">
        <v>13.1</v>
      </c>
      <c r="D20" s="30">
        <v>0.60799999999999998</v>
      </c>
      <c r="E20" s="30">
        <v>0.92900000000000005</v>
      </c>
      <c r="F20" s="30">
        <v>0</v>
      </c>
      <c r="G20" s="30">
        <v>0</v>
      </c>
      <c r="H20" s="30">
        <v>0</v>
      </c>
      <c r="I20" s="30">
        <v>0</v>
      </c>
      <c r="J20" s="30">
        <v>0</v>
      </c>
      <c r="K20" s="30">
        <v>0</v>
      </c>
      <c r="L20" s="30">
        <v>0</v>
      </c>
      <c r="M20" s="30">
        <v>5.3100000000000001E-2</v>
      </c>
      <c r="N20" s="30">
        <v>8.5900000000000004E-2</v>
      </c>
      <c r="O20" s="30">
        <v>4.3299999999999996E-3</v>
      </c>
      <c r="P20" s="30">
        <v>7.5900000000000004E-3</v>
      </c>
      <c r="Q20" s="31">
        <v>-2.64</v>
      </c>
    </row>
    <row r="21" spans="1:17">
      <c r="A21" s="26" t="s">
        <v>90</v>
      </c>
      <c r="B21" s="27" t="s">
        <v>125</v>
      </c>
      <c r="C21" s="28">
        <v>1.67</v>
      </c>
      <c r="D21" s="28">
        <v>0.187</v>
      </c>
      <c r="E21" s="28">
        <v>0.20899999999999999</v>
      </c>
      <c r="F21" s="28">
        <v>0</v>
      </c>
      <c r="G21" s="28">
        <v>0</v>
      </c>
      <c r="H21" s="28">
        <v>0</v>
      </c>
      <c r="I21" s="28">
        <v>0</v>
      </c>
      <c r="J21" s="28">
        <v>0</v>
      </c>
      <c r="K21" s="28">
        <v>0</v>
      </c>
      <c r="L21" s="28">
        <v>0</v>
      </c>
      <c r="M21" s="28">
        <v>0</v>
      </c>
      <c r="N21" s="28">
        <v>2.4499999999999999E-3</v>
      </c>
      <c r="O21" s="28">
        <v>0</v>
      </c>
      <c r="P21" s="28">
        <v>3.2399999999999998E-2</v>
      </c>
      <c r="Q21" s="29">
        <v>-0.124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UF</vt:lpstr>
      <vt:lpstr>indicateur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Woltersdorf</dc:creator>
  <cp:lastModifiedBy>Alexandre Woltersdorf</cp:lastModifiedBy>
  <dcterms:created xsi:type="dcterms:W3CDTF">2025-12-18T16:53:53Z</dcterms:created>
  <dcterms:modified xsi:type="dcterms:W3CDTF">2025-12-18T16:55:27Z</dcterms:modified>
</cp:coreProperties>
</file>